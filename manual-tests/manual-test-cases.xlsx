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<sst xmlns="http://schemas.openxmlformats.org/spreadsheetml/2006/main" count="180" uniqueCount="127">
  <si>
    <t xml:space="preserve">Test Case ID</t>
  </si>
  <si>
    <t xml:space="preserve">Title</t>
  </si>
  <si>
    <t xml:space="preserve">Feature</t>
  </si>
  <si>
    <t xml:space="preserve">Priority</t>
  </si>
  <si>
    <t xml:space="preserve">Type</t>
  </si>
  <si>
    <t xml:space="preserve">Design Technique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</si>
  <si>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</si>
  <si>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</si>
  <si>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</si>
  <si>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</si>
  <si>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</si>
  <si>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</si>
  <si>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Automatable</t>
  </si>
  <si>
    <t xml:space="preserve">TC-001</t>
  </si>
  <si>
    <t xml:space="preserve">Register a new account with valid data</t>
  </si>
  <si>
    <t xml:space="preserve">Registration</t>
  </si>
  <si>
    <t xml:space="preserve">High</t>
  </si>
  <si>
    <t xml:space="preserve">Positive</t>
  </si>
  <si>
    <t xml:space="preserve">Use case testing</t>
  </si>
  <si>
    <t xml:space="preserve">On /register; email not already registered</t>
  </si>
  <si>
    <t xml:space="preserve">First: Team, Last: Organized, Email: teamveryorganized.tsd2026@example.com, Password: Secret123, Confirm: Secret123</t>
  </si>
  <si>
    <t xml:space="preserve">1. Open /register
2. Fill name, email
3. Enter password + confirm
4. Click Register</t>
  </si>
  <si>
    <t xml:space="preserve">'Your registration completed'; user authenticated (email + Log out in header)</t>
  </si>
  <si>
    <t xml:space="preserve">Registration completed; account created and logged in.</t>
  </si>
  <si>
    <t xml:space="preserve">Passed</t>
  </si>
  <si>
    <t xml:space="preserve">Yes</t>
  </si>
  <si>
    <t xml:space="preserve">TC-002</t>
  </si>
  <si>
    <t xml:space="preserve">Login with valid credentials</t>
  </si>
  <si>
    <t xml:space="preserve">Login</t>
  </si>
  <si>
    <t xml:space="preserve">Shared account exists; on /login, logged out</t>
  </si>
  <si>
    <t xml:space="preserve">Email + password of shared account</t>
  </si>
  <si>
    <t xml:space="preserve">1. Open /login
2. Enter email
3. Enter password
4. Click Log in</t>
  </si>
  <si>
    <t xml:space="preserve">Logged in; header shows account email and Log out</t>
  </si>
  <si>
    <t xml:space="preserve">Logged in; header shows account email and Log out link.</t>
  </si>
  <si>
    <t xml:space="preserve">TC-003</t>
  </si>
  <si>
    <t xml:space="preserve">Search for an existing product by keyword</t>
  </si>
  <si>
    <t xml:space="preserve">Search</t>
  </si>
  <si>
    <t xml:space="preserve">App reachable</t>
  </si>
  <si>
    <t xml:space="preserve">Keyword: book</t>
  </si>
  <si>
    <t xml:space="preserve">1. Type 'book' in header search
2. Click Search</t>
  </si>
  <si>
    <t xml:space="preserve">Results page lists &gt;=1 matching product</t>
  </si>
  <si>
    <t xml:space="preserve">Multiple products returned for 'book'; result count &gt; 0.</t>
  </si>
  <si>
    <t xml:space="preserve">TC-004</t>
  </si>
  <si>
    <t xml:space="preserve">Login with an incorrect password</t>
  </si>
  <si>
    <t xml:space="preserve">Negative</t>
  </si>
  <si>
    <t xml:space="preserve">Decision table</t>
  </si>
  <si>
    <t xml:space="preserve">Shared account exists; on /login</t>
  </si>
  <si>
    <t xml:space="preserve">Valid email + wrong password WrongPass9</t>
  </si>
  <si>
    <t xml:space="preserve">1. Open /login
2. Enter valid email
3. Enter wrong password
4. Click Log in</t>
  </si>
  <si>
    <t xml:space="preserve">Login rejected; 'credentials provided are incorrect'; stays on login page</t>
  </si>
  <si>
    <t xml:space="preserve">Rejected with 'The credentials provided are incorrect'; stayed on login.</t>
  </si>
  <si>
    <t xml:space="preserve">TC-005</t>
  </si>
  <si>
    <t xml:space="preserve">Login with empty email and password</t>
  </si>
  <si>
    <t xml:space="preserve">Medium</t>
  </si>
  <si>
    <t xml:space="preserve">Error guessing</t>
  </si>
  <si>
    <t xml:space="preserve">On /login</t>
  </si>
  <si>
    <t xml:space="preserve">(both fields empty)</t>
  </si>
  <si>
    <t xml:space="preserve">1. Open /login
2. Leave email + password empty
3. Click Log in</t>
  </si>
  <si>
    <t xml:space="preserve">Inline validation error (e.g. 'Please enter your email'); not logged in</t>
  </si>
  <si>
    <t xml:space="preserve">Validation error shown; not logged in.</t>
  </si>
  <si>
    <t xml:space="preserve">TC-006</t>
  </si>
  <si>
    <t xml:space="preserve">Register with mismatched confirm password</t>
  </si>
  <si>
    <t xml:space="preserve">Equivalence partitioning</t>
  </si>
  <si>
    <t xml:space="preserve">On /register</t>
  </si>
  <si>
    <t xml:space="preserve">Password: Secret123, Confirm: Secret124</t>
  </si>
  <si>
    <t xml:space="preserve">1. Open /register
2. Fill name + new email
3. Mismatched password/confirm
4. Click Register</t>
  </si>
  <si>
    <t xml:space="preserve">'The password and confirmation password do not match.'; not created</t>
  </si>
  <si>
    <t xml:space="preserve">Error: passwords do not match; account not created.</t>
  </si>
  <si>
    <t xml:space="preserve">TC-007</t>
  </si>
  <si>
    <t xml:space="preserve">Registration password below minimum length</t>
  </si>
  <si>
    <t xml:space="preserve">Boundary</t>
  </si>
  <si>
    <t xml:space="preserve">Boundary value analysis</t>
  </si>
  <si>
    <t xml:space="preserve">5 chars: Sec12 (invalid) / 6 chars: Sec123 (valid)</t>
  </si>
  <si>
    <t xml:space="preserve">1. Register with 5-char password
2. Retry with 6-char password</t>
  </si>
  <si>
    <t xml:space="preserve">5 chars rejected ('at least 6 characters'); 6 chars accepted</t>
  </si>
  <si>
    <t xml:space="preserve">5-char rejected with min-length error; 6-char accepted.</t>
  </si>
  <si>
    <t xml:space="preserve">TC-008</t>
  </si>
  <si>
    <t xml:space="preserve">Newsletter subscription with invalid email format</t>
  </si>
  <si>
    <t xml:space="preserve">Newsletter</t>
  </si>
  <si>
    <t xml:space="preserve">On home page (footer newsletter visible)</t>
  </si>
  <si>
    <t xml:space="preserve">Invalid: plainaddress / valid: news.subscriber@example.com</t>
  </si>
  <si>
    <t xml:space="preserve">1. Enter 'plainaddress' in newsletter box
2. Click Subscribe</t>
  </si>
  <si>
    <t xml:space="preserve">'Enter valid email' error; not subscribed</t>
  </si>
  <si>
    <t xml:space="preserve">'Enter valid email' shown; not subscribed.</t>
  </si>
  <si>
    <t xml:space="preserve">TC-009</t>
  </si>
  <si>
    <t xml:space="preserve">End-to-end purchase</t>
  </si>
  <si>
    <t xml:space="preserve">Checkout</t>
  </si>
  <si>
    <t xml:space="preserve">Workflow</t>
  </si>
  <si>
    <t xml:space="preserve">Logged in with shared account</t>
  </si>
  <si>
    <t xml:space="preserve">Product: $25 Virtual Gift Card; billing address details</t>
  </si>
  <si>
    <t xml:space="preserve">1. Open product
2. Add to cart
3. Agree terms, Checkout
4. Fill billing
5. Shipping
6. Check/Money Order
7. Confirm</t>
  </si>
  <si>
    <t xml:space="preserve">'Your order has been successfully processed!' with order number</t>
  </si>
  <si>
    <t xml:space="preserve">Order processed; confirmation and order number displayed.</t>
  </si>
  <si>
    <t xml:space="preserve">Yes (later)</t>
  </si>
  <si>
    <t xml:space="preserve">TC-010</t>
  </si>
  <si>
    <t xml:space="preserve">Shopping cart state transitions</t>
  </si>
  <si>
    <t xml:space="preserve">Shopping cart</t>
  </si>
  <si>
    <t xml:space="preserve">State transition</t>
  </si>
  <si>
    <t xml:space="preserve">Cart empty</t>
  </si>
  <si>
    <t xml:space="preserve">Two products A and B</t>
  </si>
  <si>
    <t xml:space="preserve">1. Add A (cart=1)
2. Add B (cart=2)
3. A qty=3, Update
4. Remove B
5. Remove A</t>
  </si>
  <si>
    <t xml:space="preserve">Counter + contents update each step; ends 'Your Shopping Cart is empty!'</t>
  </si>
  <si>
    <t xml:space="preserve">Counter and contents updated at each step; empty-cart message at end.</t>
  </si>
  <si>
    <t xml:space="preserve">TC-011</t>
  </si>
  <si>
    <t xml:space="preserve">Search with no matching results</t>
  </si>
  <si>
    <t xml:space="preserve">Keyword: zzzznoproductxyz</t>
  </si>
  <si>
    <t xml:space="preserve">1. Enter keyword in header search
2. Click Search</t>
  </si>
  <si>
    <t xml:space="preserve">'No products were found that matched your criteria.'; zero results</t>
  </si>
  <si>
    <t xml:space="preserve">'No products were found that matched your criteria.' shown.</t>
  </si>
  <si>
    <t xml:space="preserve">TC-012</t>
  </si>
  <si>
    <t xml:space="preserve">Checkout with an empty required billing field</t>
  </si>
  <si>
    <t xml:space="preserve">Boundary value / error guessing</t>
  </si>
  <si>
    <t xml:space="preserve">Logged in; product in cart; at billing step</t>
  </si>
  <si>
    <t xml:space="preserve">All billing fields filled except Last name (empty)</t>
  </si>
  <si>
    <t xml:space="preserve">1. Start checkout
2. Leave Last name empty
3. Fill other required fields
4. Click Continue</t>
  </si>
  <si>
    <t xml:space="preserve">Validation error 'Last name is required.'; checkout blocked</t>
  </si>
  <si>
    <t xml:space="preserve">Checkout advanced with empty Last name; no validation error. See BUG-001.</t>
  </si>
  <si>
    <t xml:space="preserve">Failed</t>
  </si>
  <si>
    <t xml:space="preserve">Lab 3 - Test Execution Summary</t>
  </si>
  <si>
    <t xml:space="preserve">Application</t>
  </si>
  <si>
    <t xml:space="preserve">Demo Web Shop</t>
  </si>
  <si>
    <t xml:space="preserve">Total test cases</t>
  </si>
  <si>
    <t xml:space="preserve">Not Run</t>
  </si>
  <si>
    <t xml:space="preserve">Pass rate</t>
  </si>
  <si>
    <t xml:space="preserve">Defects logged</t>
  </si>
  <si>
    <t xml:space="preserve">1 (BUG-001, from TC-012)</t>
  </si>
  <si>
    <t xml:space="preserve">Note: results are the team's execution log - confirm against the live app on the test date and adjust Status/Actual if the tested version differs.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</si>
</sst>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46"/>
    <col collapsed="false" customWidth="true" hidden="false" outlineLevel="0" max="11" min="10" style="0" width="40"/>
    <col collapsed="false" customWidth="true" hidden="false" outlineLevel="0" max="12" min="12" style="0" width="12"/>
    <col collapsed="false" customWidth="true" hidden="false" outlineLevel="0" max="13" min="13" style="0" width="2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6.25" hidden="false" customHeight="false" outlineLevel="0" collapsed="false">
      <c r="A2" s="2" t="s">
        <v>13</v>
      </c>
      <c r="B2" s="3" t="s">
        <v>14</v>
      </c>
      <c r="C2" s="3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4" t="s">
        <v>24</v>
      </c>
      <c r="M2" s="3" t="s">
        <v>25</v>
      </c>
    </row>
    <row r="3" customFormat="false" ht="46.25" hidden="false" customHeight="false" outlineLevel="0" collapsed="false">
      <c r="A3" s="2" t="s">
        <v>26</v>
      </c>
      <c r="B3" s="3" t="s">
        <v>27</v>
      </c>
      <c r="C3" s="3" t="s">
        <v>28</v>
      </c>
      <c r="D3" s="2" t="s">
        <v>16</v>
      </c>
      <c r="E3" s="2" t="s">
        <v>17</v>
      </c>
      <c r="F3" s="3" t="s">
        <v>18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4" t="s">
        <v>24</v>
      </c>
      <c r="M3" s="3" t="s">
        <v>25</v>
      </c>
    </row>
    <row r="4" customFormat="false" ht="23.85" hidden="false" customHeight="false" outlineLevel="0" collapsed="false">
      <c r="A4" s="2" t="s">
        <v>34</v>
      </c>
      <c r="B4" s="3" t="s">
        <v>35</v>
      </c>
      <c r="C4" s="3" t="s">
        <v>36</v>
      </c>
      <c r="D4" s="2" t="s">
        <v>16</v>
      </c>
      <c r="E4" s="2" t="s">
        <v>17</v>
      </c>
      <c r="F4" s="3" t="s">
        <v>18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4" t="s">
        <v>24</v>
      </c>
      <c r="M4" s="3" t="s">
        <v>25</v>
      </c>
    </row>
    <row r="5" customFormat="false" ht="46.25" hidden="false" customHeight="false" outlineLevel="0" collapsed="false">
      <c r="A5" s="2" t="s">
        <v>42</v>
      </c>
      <c r="B5" s="3" t="s">
        <v>43</v>
      </c>
      <c r="C5" s="3" t="s">
        <v>28</v>
      </c>
      <c r="D5" s="2" t="s">
        <v>16</v>
      </c>
      <c r="E5" s="2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4" t="s">
        <v>24</v>
      </c>
      <c r="M5" s="3" t="s">
        <v>25</v>
      </c>
    </row>
    <row r="6" customFormat="false" ht="35.05" hidden="false" customHeight="false" outlineLevel="0" collapsed="false">
      <c r="A6" s="2" t="s">
        <v>51</v>
      </c>
      <c r="B6" s="3" t="s">
        <v>52</v>
      </c>
      <c r="C6" s="3" t="s">
        <v>28</v>
      </c>
      <c r="D6" s="2" t="s">
        <v>53</v>
      </c>
      <c r="E6" s="2" t="s">
        <v>44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  <c r="L6" s="4" t="s">
        <v>24</v>
      </c>
      <c r="M6" s="3" t="s">
        <v>25</v>
      </c>
    </row>
    <row r="7" customFormat="false" ht="46.25" hidden="false" customHeight="false" outlineLevel="0" collapsed="false">
      <c r="A7" s="2" t="s">
        <v>60</v>
      </c>
      <c r="B7" s="3" t="s">
        <v>61</v>
      </c>
      <c r="C7" s="3" t="s">
        <v>15</v>
      </c>
      <c r="D7" s="2" t="s">
        <v>16</v>
      </c>
      <c r="E7" s="2" t="s">
        <v>44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4" t="s">
        <v>24</v>
      </c>
      <c r="M7" s="3" t="s">
        <v>25</v>
      </c>
    </row>
    <row r="8" customFormat="false" ht="23.85" hidden="false" customHeight="false" outlineLevel="0" collapsed="false">
      <c r="A8" s="2" t="s">
        <v>68</v>
      </c>
      <c r="B8" s="3" t="s">
        <v>69</v>
      </c>
      <c r="C8" s="3" t="s">
        <v>15</v>
      </c>
      <c r="D8" s="2" t="s">
        <v>16</v>
      </c>
      <c r="E8" s="2" t="s">
        <v>70</v>
      </c>
      <c r="F8" s="3" t="s">
        <v>71</v>
      </c>
      <c r="G8" s="3" t="s">
        <v>63</v>
      </c>
      <c r="H8" s="3" t="s">
        <v>72</v>
      </c>
      <c r="I8" s="3" t="s">
        <v>73</v>
      </c>
      <c r="J8" s="3" t="s">
        <v>74</v>
      </c>
      <c r="K8" s="3" t="s">
        <v>75</v>
      </c>
      <c r="L8" s="4" t="s">
        <v>24</v>
      </c>
      <c r="M8" s="3" t="s">
        <v>25</v>
      </c>
    </row>
    <row r="9" customFormat="false" ht="23.85" hidden="false" customHeight="false" outlineLevel="0" collapsed="false">
      <c r="A9" s="2" t="s">
        <v>76</v>
      </c>
      <c r="B9" s="3" t="s">
        <v>77</v>
      </c>
      <c r="C9" s="3" t="s">
        <v>78</v>
      </c>
      <c r="D9" s="2" t="s">
        <v>53</v>
      </c>
      <c r="E9" s="2" t="s">
        <v>70</v>
      </c>
      <c r="F9" s="3" t="s">
        <v>62</v>
      </c>
      <c r="G9" s="3" t="s">
        <v>79</v>
      </c>
      <c r="H9" s="3" t="s">
        <v>80</v>
      </c>
      <c r="I9" s="3" t="s">
        <v>81</v>
      </c>
      <c r="J9" s="3" t="s">
        <v>82</v>
      </c>
      <c r="K9" s="3" t="s">
        <v>83</v>
      </c>
      <c r="L9" s="4" t="s">
        <v>24</v>
      </c>
      <c r="M9" s="3" t="s">
        <v>25</v>
      </c>
    </row>
    <row r="10" customFormat="false" ht="79.85" hidden="false" customHeight="false" outlineLevel="0" collapsed="false">
      <c r="A10" s="2" t="s">
        <v>84</v>
      </c>
      <c r="B10" s="3" t="s">
        <v>85</v>
      </c>
      <c r="C10" s="3" t="s">
        <v>86</v>
      </c>
      <c r="D10" s="2" t="s">
        <v>16</v>
      </c>
      <c r="E10" s="2" t="s">
        <v>87</v>
      </c>
      <c r="F10" s="3" t="s">
        <v>18</v>
      </c>
      <c r="G10" s="3" t="s">
        <v>88</v>
      </c>
      <c r="H10" s="3" t="s">
        <v>89</v>
      </c>
      <c r="I10" s="3" t="s">
        <v>90</v>
      </c>
      <c r="J10" s="3" t="s">
        <v>91</v>
      </c>
      <c r="K10" s="3" t="s">
        <v>92</v>
      </c>
      <c r="L10" s="4" t="s">
        <v>24</v>
      </c>
      <c r="M10" s="3" t="s">
        <v>93</v>
      </c>
    </row>
    <row r="11" customFormat="false" ht="57.45" hidden="false" customHeight="false" outlineLevel="0" collapsed="false">
      <c r="A11" s="2" t="s">
        <v>94</v>
      </c>
      <c r="B11" s="3" t="s">
        <v>95</v>
      </c>
      <c r="C11" s="3" t="s">
        <v>96</v>
      </c>
      <c r="D11" s="2" t="s">
        <v>16</v>
      </c>
      <c r="E11" s="2" t="s">
        <v>87</v>
      </c>
      <c r="F11" s="3" t="s">
        <v>97</v>
      </c>
      <c r="G11" s="3" t="s">
        <v>98</v>
      </c>
      <c r="H11" s="3" t="s">
        <v>99</v>
      </c>
      <c r="I11" s="3" t="s">
        <v>100</v>
      </c>
      <c r="J11" s="3" t="s">
        <v>101</v>
      </c>
      <c r="K11" s="3" t="s">
        <v>102</v>
      </c>
      <c r="L11" s="4" t="s">
        <v>24</v>
      </c>
      <c r="M11" s="3" t="s">
        <v>25</v>
      </c>
    </row>
    <row r="12" customFormat="false" ht="23.85" hidden="false" customHeight="false" outlineLevel="0" collapsed="false">
      <c r="A12" s="2" t="s">
        <v>103</v>
      </c>
      <c r="B12" s="3" t="s">
        <v>104</v>
      </c>
      <c r="C12" s="3" t="s">
        <v>36</v>
      </c>
      <c r="D12" s="2" t="s">
        <v>53</v>
      </c>
      <c r="E12" s="2" t="s">
        <v>44</v>
      </c>
      <c r="F12" s="3" t="s">
        <v>62</v>
      </c>
      <c r="G12" s="3" t="s">
        <v>37</v>
      </c>
      <c r="H12" s="3" t="s">
        <v>105</v>
      </c>
      <c r="I12" s="3" t="s">
        <v>106</v>
      </c>
      <c r="J12" s="3" t="s">
        <v>107</v>
      </c>
      <c r="K12" s="3" t="s">
        <v>108</v>
      </c>
      <c r="L12" s="4" t="s">
        <v>24</v>
      </c>
      <c r="M12" s="3" t="s">
        <v>25</v>
      </c>
    </row>
    <row r="13" customFormat="false" ht="46.25" hidden="false" customHeight="false" outlineLevel="0" collapsed="false">
      <c r="A13" s="2" t="s">
        <v>109</v>
      </c>
      <c r="B13" s="3" t="s">
        <v>110</v>
      </c>
      <c r="C13" s="3" t="s">
        <v>86</v>
      </c>
      <c r="D13" s="2" t="s">
        <v>16</v>
      </c>
      <c r="E13" s="2" t="s">
        <v>70</v>
      </c>
      <c r="F13" s="3" t="s">
        <v>111</v>
      </c>
      <c r="G13" s="3" t="s">
        <v>112</v>
      </c>
      <c r="H13" s="3" t="s">
        <v>113</v>
      </c>
      <c r="I13" s="3" t="s">
        <v>114</v>
      </c>
      <c r="J13" s="3" t="s">
        <v>115</v>
      </c>
      <c r="K13" s="3" t="s">
        <v>116</v>
      </c>
      <c r="L13" s="5" t="s">
        <v>117</v>
      </c>
      <c r="M13" s="3" t="s">
        <v>25</v>
      </c>
    </row>
  </sheetData>
  <dataValidations count="4">
    <dataValidation allowBlank="true" errorStyle="stop" operator="between" showDropDown="false" showErrorMessage="false" showInputMessage="false" sqref="D2:D13" type="list">
      <formula1>"High,Medium,Low"</formula1>
      <formula2>0</formula2>
    </dataValidation>
    <dataValidation allowBlank="true" errorStyle="stop" operator="between" showDropDown="false" showErrorMessage="false" showInputMessage="false" sqref="E2:E13" type="list">
      <formula1>"Positive,Negative,Boundary,Workflow"</formula1>
      <formula2>0</formula2>
    </dataValidation>
    <dataValidation allowBlank="true" errorStyle="stop" operator="between" showDropDown="false" showErrorMessage="false" showInputMessage="false" sqref="L2:L13" type="list">
      <formula1>"Not Run,Passed,Failed"</formula1>
      <formula2>0</formula2>
    </dataValidation>
    <dataValidation allowBlank="true" errorStyle="stop" operator="between" showDropDown="false" showErrorMessage="false" showInputMessage="false" sqref="M2:M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6" t="s">
        <v>118</v>
      </c>
    </row>
    <row r="3" customFormat="false" ht="15" hidden="false" customHeight="false" outlineLevel="0" collapsed="false">
      <c r="A3" s="7" t="s">
        <v>119</v>
      </c>
      <c r="B3" s="8" t="s">
        <v>120</v>
      </c>
    </row>
    <row r="4" customFormat="false" ht="15" hidden="false" customHeight="false" outlineLevel="0" collapsed="false">
      <c r="A4" s="7" t="s">
        <v>121</v>
      </c>
      <c r="B4" s="8" t="n">
        <f aca="false">COUNTA('Test Cases'!A2:A13)</f>
        <v>12</v>
      </c>
    </row>
    <row r="5" customFormat="false" ht="15" hidden="false" customHeight="false" outlineLevel="0" collapsed="false">
      <c r="A5" s="7" t="s">
        <v>24</v>
      </c>
      <c r="B5" s="8" t="n">
        <f aca="false">COUNTIF('Test Cases'!L2:L13,"Passed")</f>
        <v>11</v>
      </c>
    </row>
    <row r="6" customFormat="false" ht="15" hidden="false" customHeight="false" outlineLevel="0" collapsed="false">
      <c r="A6" s="7" t="s">
        <v>117</v>
      </c>
      <c r="B6" s="8" t="n">
        <f aca="false">COUNTIF('Test Cases'!L2:L13,"Failed")</f>
        <v>1</v>
      </c>
    </row>
    <row r="7" customFormat="false" ht="15" hidden="false" customHeight="false" outlineLevel="0" collapsed="false">
      <c r="A7" s="7" t="s">
        <v>122</v>
      </c>
      <c r="B7" s="8" t="n">
        <f aca="false">COUNTIF('Test Cases'!L2:L13,"Not Run")</f>
        <v>0</v>
      </c>
    </row>
    <row r="8" customFormat="false" ht="15" hidden="false" customHeight="false" outlineLevel="0" collapsed="false">
      <c r="A8" s="7" t="s">
        <v>123</v>
      </c>
      <c r="B8" s="9" t="n">
        <f aca="false">B5/B4</f>
        <v>0.916666666666667</v>
      </c>
    </row>
    <row r="9" customFormat="false" ht="15" hidden="false" customHeight="false" outlineLevel="0" collapsed="false">
      <c r="A9" s="7" t="s">
        <v>124</v>
      </c>
      <c r="B9" s="8" t="s">
        <v>125</v>
      </c>
    </row>
    <row r="11" customFormat="false" ht="15" hidden="false" customHeight="true" outlineLevel="0" collapsed="false">
      <c r="A11" s="10" t="s">
        <v>126</v>
      </c>
      <c r="B11" s="10"/>
    </row>
    <row r="12" customFormat="false" ht="15" hidden="false" customHeight="false" outlineLevel="0" collapsed="false">
      <c r="A12" s="10"/>
      <c r="B12" s="10"/>
    </row>
    <row r="13" customFormat="false" ht="15" hidden="false" customHeight="false" outlineLevel="0" collapsed="false">
      <c r="A13" s="10"/>
      <c r="B13" s="10"/>
    </row>
  </sheetData>
  <mergeCells count="1">
    <mergeCell ref="A11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2026-07-09T12:39:05Z</dcterms:created>
  <dc:creator>openpyxl</dc:creator>
  <dc:description/>
  <dc:language>en-US</dc:language>
  <cp:lastModifiedBy/>
  <dcterms:modified xsi:type="dcterms:W3CDTF">2026-07-09T12:39:05Z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